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bob_christenson_sas_com/Documents/Documents/Flight/Preheater handoff/"/>
    </mc:Choice>
  </mc:AlternateContent>
  <xr:revisionPtr revIDLastSave="33" documentId="8_{F714C223-F708-4CA9-A231-6B3A57A2DC09}" xr6:coauthVersionLast="47" xr6:coauthVersionMax="47" xr10:uidLastSave="{F5AD4AE8-CC4A-4860-8D14-19113CA7D4B8}"/>
  <bookViews>
    <workbookView xWindow="7886" yWindow="4629" windowWidth="18643" windowHeight="10774" xr2:uid="{F4844029-95E5-43A3-BDE4-9C10CAF2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20" i="1"/>
  <c r="F19" i="1"/>
  <c r="F18" i="1"/>
  <c r="F17" i="1"/>
  <c r="F16" i="1"/>
  <c r="F15" i="1"/>
  <c r="F14" i="1"/>
  <c r="F13" i="1"/>
  <c r="F12" i="1"/>
  <c r="F11" i="1"/>
  <c r="F10" i="1"/>
  <c r="F8" i="1"/>
  <c r="F7" i="1"/>
  <c r="F6" i="1"/>
  <c r="F22" i="1" l="1"/>
  <c r="F23" i="1" s="1"/>
  <c r="F25" i="1" s="1"/>
</calcChain>
</file>

<file path=xl/sharedStrings.xml><?xml version="1.0" encoding="utf-8"?>
<sst xmlns="http://schemas.openxmlformats.org/spreadsheetml/2006/main" count="68" uniqueCount="59">
  <si>
    <t>Parts list for new diesel pre-heater cart</t>
  </si>
  <si>
    <t>Part</t>
  </si>
  <si>
    <t>Price</t>
  </si>
  <si>
    <t>Total Price</t>
  </si>
  <si>
    <t>Count
required</t>
  </si>
  <si>
    <t>Link</t>
  </si>
  <si>
    <t>Source</t>
  </si>
  <si>
    <t>Amazon</t>
  </si>
  <si>
    <t>Battery Minder/Charger</t>
  </si>
  <si>
    <t>Sub-Total</t>
  </si>
  <si>
    <t>Estimated Tax</t>
  </si>
  <si>
    <t>Total</t>
  </si>
  <si>
    <t>High Temperature Spray Adhesive (for cowl plugs)</t>
  </si>
  <si>
    <t>Aramid Fabric (to cover cowl plugs)</t>
  </si>
  <si>
    <t>Exhaust Wrap</t>
  </si>
  <si>
    <t>"Caution Hot!" stickers</t>
  </si>
  <si>
    <t>2"x12"x12" Closed Cell Foam (for cowl plugs)</t>
  </si>
  <si>
    <t>Kayak Outfitting</t>
  </si>
  <si>
    <t>Batteries Plus</t>
  </si>
  <si>
    <t>Northern Tool</t>
  </si>
  <si>
    <t xml:space="preserve">Garden Wagon </t>
  </si>
  <si>
    <t>Galvanized 4-in to 3-in reducer</t>
  </si>
  <si>
    <t>Lowes</t>
  </si>
  <si>
    <t>Galvanized 4-in starting collar</t>
  </si>
  <si>
    <t>Commander 27 gallon storage tote (Heater Cover)</t>
  </si>
  <si>
    <t>Notes</t>
  </si>
  <si>
    <t>Silvel brand in the past, but Amazon is proliferated with various diesel heaters.  We aim for generally most cost-effective heater with expectation of a relatively short lifespan (1-2 seasons).</t>
  </si>
  <si>
    <t xml:space="preserve">Diesel Heater </t>
  </si>
  <si>
    <t>Used in applying fabric to cowl plugs</t>
  </si>
  <si>
    <t>When running JetA, provides additional lubrication within the system
Less important if using Diesel instead of JetA</t>
  </si>
  <si>
    <t>Stanadyne Diesel Lubricity Formula 8oz</t>
  </si>
  <si>
    <t>3" Air Duct 16 feet</t>
  </si>
  <si>
    <t>Optional, if using the more expensive SCAT tubing
Description states it can withstand temperatures between -30 to 80C (-22 to 176F)</t>
  </si>
  <si>
    <t>Duracell Ultra BCI Group 27M 12V 90AH 575CCA Flooded Deep Cycle Marine &amp; RV Battery - SLI27MDC at Batteries Plus</t>
  </si>
  <si>
    <t>Deep cycle battery Group 27M Marine/RV</t>
  </si>
  <si>
    <t xml:space="preserve">Battery Box, NOCO Heavy Duty Large snap top </t>
  </si>
  <si>
    <t>Designed for a single group 24 to 31 battery</t>
  </si>
  <si>
    <r>
      <t xml:space="preserve">48"x"24
</t>
    </r>
    <r>
      <rPr>
        <sz val="11"/>
        <color rgb="FFFF0000"/>
        <rFont val="Aptos Narrow"/>
        <family val="2"/>
        <scheme val="minor"/>
      </rPr>
      <t>Backordered - Estimated ShipDate 1/20/2026</t>
    </r>
    <r>
      <rPr>
        <sz val="11"/>
        <color theme="1"/>
        <rFont val="Aptos Narrow"/>
        <family val="2"/>
        <scheme val="minor"/>
      </rPr>
      <t xml:space="preserve">
Previously spec'd wagon (38"x20") from Northern Tool unavailable</t>
    </r>
  </si>
  <si>
    <t>XLJP 1Pc Yellow Kevlar Fabric 100 * 30cm 200gsm Fabric Woven Aramid Fiber Cloth Plain 100cm/39.4'' Width Yellow Color</t>
  </si>
  <si>
    <t>https://a.co/d/8TrIUR2</t>
  </si>
  <si>
    <t>https://a.co/d/bGB0q9N</t>
  </si>
  <si>
    <t>https://a.co/d/bXagsk7</t>
  </si>
  <si>
    <t>https://a.co/d/aR4efJl</t>
  </si>
  <si>
    <t>https://a.co/d/iIlDmvv</t>
  </si>
  <si>
    <t>https://a.co/d/1h5lzUk</t>
  </si>
  <si>
    <t>https://a.co/d/eHMoNjH</t>
  </si>
  <si>
    <t>https://a.co/d/6hrDO7p</t>
  </si>
  <si>
    <t>2x12x12 closed cell foam</t>
  </si>
  <si>
    <t>noco-heavy-duty-large-battery-box-model-bg31-5992504</t>
  </si>
  <si>
    <t>Farm-tuff-garden-wagon-800-lb-capacity-48in-l-x-24in-w</t>
  </si>
  <si>
    <t>IMPERIAL-4-in-dia-x-3-in-dia-Duct-Reducer</t>
  </si>
  <si>
    <t>IMPERIAL-4-in-Galvanized-Steel-Round-Storm-Duct-Starting-Collar</t>
  </si>
  <si>
    <t>COMMANDER-27-Gallon-108-Quart-Black-Yellow-Tote-with-Standard-Snap-Lid</t>
  </si>
  <si>
    <t>Links/prices updated as of Dec 21, 2025</t>
  </si>
  <si>
    <t>Alternate Items</t>
  </si>
  <si>
    <t>Garden Wagon</t>
  </si>
  <si>
    <t>Harbor Freight</t>
  </si>
  <si>
    <t>1000 lb. Capacity Mesh Deck Steel Wagon</t>
  </si>
  <si>
    <t>48"x24"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</si>
</sst>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F1111"/>
      <name val="Arial"/>
      <family val="2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2"/>
    <xf numFmtId="0" fontId="4" fillId="0" borderId="0" xfId="2" applyAlignment="1">
      <alignment wrapText="1"/>
    </xf>
    <xf numFmtId="44" fontId="0" fillId="0" borderId="0" xfId="1" applyFont="1"/>
    <xf numFmtId="44" fontId="3" fillId="0" borderId="0" xfId="1" applyFont="1"/>
    <xf numFmtId="0" fontId="5" fillId="0" borderId="0" xfId="0" applyFont="1" applyAlignment="1">
      <alignment vertical="center" wrapText="1"/>
    </xf>
    <xf numFmtId="44" fontId="6" fillId="0" borderId="0" xfId="1" applyFont="1"/>
    <xf numFmtId="0" fontId="7" fillId="0" borderId="0" xfId="0" applyFont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rtherntool.com/products/noco-heavy-duty-large-battery-box-model-bg31-5992504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northerntool.com/products/farm-tuff-garden-wagon-800-lb-capacity-48in-l-x-24in-w-model-efrw-g-1433020" TargetMode="External"/><Relationship Id="rId7" Type="http://schemas.openxmlformats.org/officeDocument/2006/relationships/hyperlink" Target="https://a.co/d/8TrIUR2" TargetMode="External"/><Relationship Id="rId12" Type="http://schemas.openxmlformats.org/officeDocument/2006/relationships/hyperlink" Target="https://a.co/d/aR4efJl" TargetMode="External"/><Relationship Id="rId2" Type="http://schemas.openxmlformats.org/officeDocument/2006/relationships/hyperlink" Target="https://kayakoutfitting.com/closed-cell-foam-2-thick-foam-c-15_34/2x12x12-closed-cell-foam-p-172.html" TargetMode="External"/><Relationship Id="rId1" Type="http://schemas.openxmlformats.org/officeDocument/2006/relationships/hyperlink" Target="https://www.batteriesplus.com/productdetails/SLI27MDC?locationofinterest=&amp;locationphysical=9009674&amp;utm_source=google&amp;utm_medium=search&amp;utm_campaign=ecommppc&amp;gclid=CjwKCAiAzNj9BRBDEiwAPsL0d1kurveqCCdDd5kG3-DqK4c3U5tRoWe2nZQPBFP0v7AM4xHyPaH5OxoCDyAQAvD_BwE" TargetMode="External"/><Relationship Id="rId6" Type="http://schemas.openxmlformats.org/officeDocument/2006/relationships/hyperlink" Target="https://www.lowes.com/pd/COMMANDER-27-Gallon-108-Quart-Black-Yellow-Tote-with-Standard-Snap-Lid/3551290" TargetMode="External"/><Relationship Id="rId11" Type="http://schemas.openxmlformats.org/officeDocument/2006/relationships/hyperlink" Target="https://a.co/d/bXagsk7" TargetMode="External"/><Relationship Id="rId5" Type="http://schemas.openxmlformats.org/officeDocument/2006/relationships/hyperlink" Target="https://www.lowes.com/pd/IMPERIAL-4-in-Galvanized-Steel-Round-Storm-Duct-Starting-Collar/1000230219" TargetMode="External"/><Relationship Id="rId10" Type="http://schemas.openxmlformats.org/officeDocument/2006/relationships/hyperlink" Target="https://a.co/d/6hrDO7p" TargetMode="External"/><Relationship Id="rId4" Type="http://schemas.openxmlformats.org/officeDocument/2006/relationships/hyperlink" Target="https://www.lowes.com/pd/IMPERIAL-4-in-dia-x-3-in-dia-Duct-Reducer/1000228317" TargetMode="External"/><Relationship Id="rId9" Type="http://schemas.openxmlformats.org/officeDocument/2006/relationships/hyperlink" Target="https://www.harborfreight.com/1000-lb-capacity-mesh-deck-steel-wagon-603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1F79-F3ED-4BB1-93D2-801BFBB12097}">
  <dimension ref="A1:H30"/>
  <sheetViews>
    <sheetView tabSelected="1" topLeftCell="A4" workbookViewId="0">
      <selection activeCell="C8" sqref="C8"/>
    </sheetView>
  </sheetViews>
  <sheetFormatPr defaultRowHeight="14.6" x14ac:dyDescent="0.4"/>
  <cols>
    <col min="1" max="1" width="47.61328125" style="1" customWidth="1"/>
    <col min="2" max="2" width="13.69140625" style="1" bestFit="1" customWidth="1"/>
    <col min="3" max="3" width="40.3046875" customWidth="1"/>
    <col min="4" max="4" width="9.23046875" style="6"/>
    <col min="6" max="6" width="10.765625" style="6" bestFit="1" customWidth="1"/>
    <col min="8" max="8" width="78.921875" style="1" customWidth="1"/>
  </cols>
  <sheetData>
    <row r="1" spans="1:8" ht="47.15" x14ac:dyDescent="0.65">
      <c r="A1" s="10" t="s">
        <v>0</v>
      </c>
    </row>
    <row r="3" spans="1:8" x14ac:dyDescent="0.4">
      <c r="A3" s="1" t="s">
        <v>53</v>
      </c>
      <c r="C3" s="4"/>
    </row>
    <row r="5" spans="1:8" s="3" customFormat="1" ht="29.15" x14ac:dyDescent="0.4">
      <c r="A5" s="2" t="s">
        <v>1</v>
      </c>
      <c r="B5" s="2" t="s">
        <v>6</v>
      </c>
      <c r="C5" s="3" t="s">
        <v>5</v>
      </c>
      <c r="D5" s="7" t="s">
        <v>2</v>
      </c>
      <c r="E5" s="2" t="s">
        <v>4</v>
      </c>
      <c r="F5" s="7" t="s">
        <v>3</v>
      </c>
      <c r="H5" s="2" t="s">
        <v>25</v>
      </c>
    </row>
    <row r="6" spans="1:8" ht="29.15" x14ac:dyDescent="0.4">
      <c r="A6" s="1" t="s">
        <v>27</v>
      </c>
      <c r="B6" t="s">
        <v>7</v>
      </c>
      <c r="C6" s="4" t="s">
        <v>39</v>
      </c>
      <c r="D6" s="6">
        <v>119.99</v>
      </c>
      <c r="E6">
        <v>1</v>
      </c>
      <c r="F6" s="6">
        <f>D6*E6</f>
        <v>119.99</v>
      </c>
      <c r="H6" s="1" t="s">
        <v>26</v>
      </c>
    </row>
    <row r="7" spans="1:8" x14ac:dyDescent="0.4">
      <c r="A7" s="1" t="s">
        <v>8</v>
      </c>
      <c r="B7" s="1" t="s">
        <v>7</v>
      </c>
      <c r="C7" s="5" t="s">
        <v>41</v>
      </c>
      <c r="D7" s="6">
        <v>188.99</v>
      </c>
      <c r="E7">
        <v>1</v>
      </c>
      <c r="F7" s="6">
        <f t="shared" ref="F7:F20" si="0">D7*E7</f>
        <v>188.99</v>
      </c>
    </row>
    <row r="8" spans="1:8" x14ac:dyDescent="0.4">
      <c r="A8" s="1" t="s">
        <v>12</v>
      </c>
      <c r="B8" s="1" t="s">
        <v>7</v>
      </c>
      <c r="C8" s="5" t="s">
        <v>42</v>
      </c>
      <c r="D8" s="6">
        <v>19.95</v>
      </c>
      <c r="E8">
        <v>1</v>
      </c>
      <c r="F8" s="6">
        <f t="shared" si="0"/>
        <v>19.95</v>
      </c>
      <c r="H8" s="1" t="s">
        <v>28</v>
      </c>
    </row>
    <row r="9" spans="1:8" ht="24.9" x14ac:dyDescent="0.4">
      <c r="A9" s="1" t="s">
        <v>13</v>
      </c>
      <c r="B9" s="1" t="s">
        <v>7</v>
      </c>
      <c r="C9" s="5" t="s">
        <v>40</v>
      </c>
      <c r="D9" s="6">
        <v>15.98</v>
      </c>
      <c r="E9">
        <v>2</v>
      </c>
      <c r="F9" s="9">
        <f t="shared" si="0"/>
        <v>31.96</v>
      </c>
      <c r="H9" s="8" t="s">
        <v>38</v>
      </c>
    </row>
    <row r="10" spans="1:8" x14ac:dyDescent="0.4">
      <c r="A10" s="1" t="s">
        <v>14</v>
      </c>
      <c r="B10" s="1" t="s">
        <v>7</v>
      </c>
      <c r="C10" s="4" t="s">
        <v>43</v>
      </c>
      <c r="D10" s="6">
        <v>17.989999999999998</v>
      </c>
      <c r="E10">
        <v>1</v>
      </c>
      <c r="F10" s="6">
        <f t="shared" si="0"/>
        <v>17.989999999999998</v>
      </c>
    </row>
    <row r="11" spans="1:8" x14ac:dyDescent="0.4">
      <c r="A11" s="1" t="s">
        <v>15</v>
      </c>
      <c r="B11" s="1" t="s">
        <v>7</v>
      </c>
      <c r="C11" s="4" t="s">
        <v>44</v>
      </c>
      <c r="D11" s="6">
        <v>8.99</v>
      </c>
      <c r="E11">
        <v>1</v>
      </c>
      <c r="F11" s="6">
        <f t="shared" si="0"/>
        <v>8.99</v>
      </c>
    </row>
    <row r="12" spans="1:8" ht="29.15" x14ac:dyDescent="0.4">
      <c r="A12" s="1" t="s">
        <v>30</v>
      </c>
      <c r="B12" s="1" t="s">
        <v>7</v>
      </c>
      <c r="C12" s="4" t="s">
        <v>45</v>
      </c>
      <c r="D12" s="6">
        <v>14</v>
      </c>
      <c r="E12">
        <v>1</v>
      </c>
      <c r="F12" s="6">
        <f t="shared" si="0"/>
        <v>14</v>
      </c>
      <c r="H12" s="1" t="s">
        <v>29</v>
      </c>
    </row>
    <row r="13" spans="1:8" ht="43.75" x14ac:dyDescent="0.4">
      <c r="A13" s="1" t="s">
        <v>31</v>
      </c>
      <c r="C13" s="4" t="s">
        <v>46</v>
      </c>
      <c r="D13" s="6">
        <v>15.99</v>
      </c>
      <c r="E13">
        <v>1</v>
      </c>
      <c r="F13" s="6">
        <f t="shared" si="0"/>
        <v>15.99</v>
      </c>
      <c r="H13" s="1" t="s">
        <v>32</v>
      </c>
    </row>
    <row r="14" spans="1:8" x14ac:dyDescent="0.4">
      <c r="A14" s="1" t="s">
        <v>34</v>
      </c>
      <c r="B14" s="1" t="s">
        <v>18</v>
      </c>
      <c r="C14" s="4" t="s">
        <v>33</v>
      </c>
      <c r="D14" s="6">
        <v>144.99</v>
      </c>
      <c r="E14">
        <v>1</v>
      </c>
      <c r="F14" s="6">
        <f t="shared" si="0"/>
        <v>144.99</v>
      </c>
    </row>
    <row r="15" spans="1:8" x14ac:dyDescent="0.4">
      <c r="A15" s="1" t="s">
        <v>16</v>
      </c>
      <c r="B15" s="1" t="s">
        <v>17</v>
      </c>
      <c r="C15" s="4" t="s">
        <v>47</v>
      </c>
      <c r="D15" s="6">
        <v>9</v>
      </c>
      <c r="E15">
        <v>2</v>
      </c>
      <c r="F15" s="6">
        <f t="shared" si="0"/>
        <v>18</v>
      </c>
    </row>
    <row r="16" spans="1:8" x14ac:dyDescent="0.4">
      <c r="A16" s="1" t="s">
        <v>35</v>
      </c>
      <c r="B16" s="1" t="s">
        <v>19</v>
      </c>
      <c r="C16" s="4" t="s">
        <v>48</v>
      </c>
      <c r="D16" s="6">
        <v>19.989999999999998</v>
      </c>
      <c r="E16">
        <v>1</v>
      </c>
      <c r="F16" s="6">
        <f t="shared" si="0"/>
        <v>19.989999999999998</v>
      </c>
      <c r="H16" s="1" t="s">
        <v>36</v>
      </c>
    </row>
    <row r="17" spans="1:8" ht="43.75" x14ac:dyDescent="0.4">
      <c r="A17" s="1" t="s">
        <v>20</v>
      </c>
      <c r="B17" s="1" t="s">
        <v>19</v>
      </c>
      <c r="C17" s="5" t="s">
        <v>49</v>
      </c>
      <c r="D17" s="6">
        <v>174.99</v>
      </c>
      <c r="E17">
        <v>1</v>
      </c>
      <c r="F17" s="6">
        <f t="shared" si="0"/>
        <v>174.99</v>
      </c>
      <c r="H17" s="1" t="s">
        <v>37</v>
      </c>
    </row>
    <row r="18" spans="1:8" x14ac:dyDescent="0.4">
      <c r="A18" s="1" t="s">
        <v>21</v>
      </c>
      <c r="B18" s="1" t="s">
        <v>22</v>
      </c>
      <c r="C18" s="5" t="s">
        <v>50</v>
      </c>
      <c r="D18" s="6">
        <v>12.88</v>
      </c>
      <c r="E18">
        <v>1</v>
      </c>
      <c r="F18" s="6">
        <f t="shared" si="0"/>
        <v>12.88</v>
      </c>
    </row>
    <row r="19" spans="1:8" ht="29.15" x14ac:dyDescent="0.4">
      <c r="A19" s="1" t="s">
        <v>23</v>
      </c>
      <c r="B19" s="1" t="s">
        <v>22</v>
      </c>
      <c r="C19" s="5" t="s">
        <v>51</v>
      </c>
      <c r="D19" s="6">
        <v>4.88</v>
      </c>
      <c r="E19">
        <v>1</v>
      </c>
      <c r="F19" s="6">
        <f t="shared" si="0"/>
        <v>4.88</v>
      </c>
    </row>
    <row r="20" spans="1:8" ht="29.15" x14ac:dyDescent="0.4">
      <c r="A20" s="1" t="s">
        <v>24</v>
      </c>
      <c r="B20" s="1" t="s">
        <v>22</v>
      </c>
      <c r="C20" s="5" t="s">
        <v>52</v>
      </c>
      <c r="D20" s="6">
        <v>8.98</v>
      </c>
      <c r="E20">
        <v>1</v>
      </c>
      <c r="F20" s="6">
        <f t="shared" si="0"/>
        <v>8.98</v>
      </c>
    </row>
    <row r="22" spans="1:8" x14ac:dyDescent="0.4">
      <c r="E22" t="s">
        <v>9</v>
      </c>
      <c r="F22" s="6">
        <f>SUM(F6:F20)</f>
        <v>802.57</v>
      </c>
    </row>
    <row r="23" spans="1:8" x14ac:dyDescent="0.4">
      <c r="E23" t="s">
        <v>10</v>
      </c>
      <c r="F23" s="6">
        <f>F22*0.07</f>
        <v>56.179900000000011</v>
      </c>
    </row>
    <row r="25" spans="1:8" x14ac:dyDescent="0.4">
      <c r="E25" t="s">
        <v>11</v>
      </c>
      <c r="F25" s="6">
        <f>SUM(F22, F23)</f>
        <v>858.74990000000003</v>
      </c>
    </row>
    <row r="29" spans="1:8" x14ac:dyDescent="0.4">
      <c r="A29" s="2" t="s">
        <v>54</v>
      </c>
    </row>
    <row r="30" spans="1:8" x14ac:dyDescent="0.4">
      <c r="A30" s="1" t="s">
        <v>55</v>
      </c>
      <c r="B30" s="1" t="s">
        <v>56</v>
      </c>
      <c r="C30" s="4" t="s">
        <v>57</v>
      </c>
      <c r="D30" s="6">
        <v>99.99</v>
      </c>
      <c r="H30" s="1" t="s">
        <v>58</v>
      </c>
    </row>
  </sheetData>
  <hyperlinks>
    <hyperlink ref="C14" r:id="rId1" xr:uid="{2DD43B62-0E5D-45A9-8B41-55AAFA7A0313}"/>
    <hyperlink ref="C15" r:id="rId2" xr:uid="{238E3500-BE9B-4080-97E8-D2A6A8D800F2}"/>
    <hyperlink ref="C17" r:id="rId3" xr:uid="{9B441FDF-48EE-48A4-A8AF-0D86A1105B05}"/>
    <hyperlink ref="C18" r:id="rId4" xr:uid="{34E6232E-9CA8-42F2-A210-17E13C307894}"/>
    <hyperlink ref="C19" r:id="rId5" xr:uid="{A8C8FA46-9579-40D2-B173-949ABC12432A}"/>
    <hyperlink ref="C20" r:id="rId6" xr:uid="{1E27F757-9990-4884-89F4-9F0C42100C8E}"/>
    <hyperlink ref="C6" r:id="rId7" xr:uid="{1A68519E-A78A-48E6-A351-56A7F0256128}"/>
    <hyperlink ref="C16" r:id="rId8" xr:uid="{6C8522B1-B011-49D2-BA5C-A6C83FAFCA94}"/>
    <hyperlink ref="C30" r:id="rId9" display="https://www.harborfreight.com/1000-lb-capacity-mesh-deck-steel-wagon-60359.html" xr:uid="{E3380EA9-E60C-47F4-866B-3398B5DCF8A5}"/>
    <hyperlink ref="C13" r:id="rId10" xr:uid="{6F466326-DD84-483A-B460-C2A63A675F5B}"/>
    <hyperlink ref="C7" r:id="rId11" xr:uid="{C9019596-C477-4AF9-8EAC-27974BAABCB4}"/>
    <hyperlink ref="C8" r:id="rId12" xr:uid="{663F816C-F2CB-45C9-9A41-2DCDF0274926}"/>
  </hyperlinks>
  <pageMargins left="0.7" right="0.7" top="0.75" bottom="0.75" header="0.3" footer="0.3"/>
  <pageSetup orientation="portrait" r:id="rId13"/>
</worksheet>
</file>

<file path=docMetadata/LabelInfo.xml><?xml version="1.0" encoding="utf-8"?>
<clbl:labelList xmlns:clbl="http://schemas.microsoft.com/office/2020/mipLabelMetadata">
  <clbl:label id="{b1c14d5c-3625-45b3-a430-9552373a0c2f}" enabled="0" method="" siteId="{b1c14d5c-3625-45b3-a430-9552373a0c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Christenson</dc:creator>
  <cp:lastModifiedBy>Bob Christenson</cp:lastModifiedBy>
  <dcterms:created xsi:type="dcterms:W3CDTF">2025-12-21T11:23:38Z</dcterms:created>
  <dcterms:modified xsi:type="dcterms:W3CDTF">2025-12-28T16:37:00Z</dcterms:modified>
</cp:coreProperties>
</file>