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soffice365-my.sharepoint.com/personal/bob_christenson_sas_com/Documents/Documents/Flight/Preheater handoff/"/>
    </mc:Choice>
  </mc:AlternateContent>
  <xr:revisionPtr revIDLastSave="2" documentId="11_7175A5D6F1FFE15592330E251C4E4242E6480FBB" xr6:coauthVersionLast="47" xr6:coauthVersionMax="47" xr10:uidLastSave="{D23E1EC4-1A05-46D7-9A2F-39BDFD39B49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4" i="1"/>
  <c r="C34" i="1"/>
  <c r="E21" i="1"/>
  <c r="G34" i="1" s="1"/>
  <c r="E20" i="1"/>
  <c r="E19" i="1"/>
  <c r="E18" i="1"/>
  <c r="E17" i="1"/>
  <c r="E16" i="1"/>
  <c r="E15" i="1"/>
  <c r="E14" i="1"/>
  <c r="E13" i="1"/>
  <c r="E12" i="1"/>
  <c r="E8" i="1"/>
  <c r="E7" i="1"/>
  <c r="E5" i="1"/>
  <c r="E4" i="1"/>
  <c r="E3" i="1"/>
  <c r="E2" i="1"/>
</calcChain>
</file>

<file path=xl/sharedStrings.xml><?xml version="1.0" encoding="utf-8"?>
<sst xmlns="http://schemas.openxmlformats.org/spreadsheetml/2006/main" count="66" uniqueCount="59">
  <si>
    <t>Part</t>
  </si>
  <si>
    <t xml:space="preserve">Price ea. </t>
  </si>
  <si>
    <t>Number</t>
  </si>
  <si>
    <t>Price Total</t>
  </si>
  <si>
    <t>Ordered</t>
  </si>
  <si>
    <t>Received</t>
  </si>
  <si>
    <t>Propane Hose/regulator/gauge</t>
  </si>
  <si>
    <t>Amazon Part B07GRFTR4S</t>
  </si>
  <si>
    <t>Piezo igniter</t>
  </si>
  <si>
    <t>Amazon Part B07MMBVL6K</t>
  </si>
  <si>
    <t>Blower switch</t>
  </si>
  <si>
    <t>Amazon Part B07MFQ4TNK</t>
  </si>
  <si>
    <t>Aluminized tape</t>
  </si>
  <si>
    <t>Amazon Part B00A7I5L86</t>
  </si>
  <si>
    <t>Red RTV sealant</t>
  </si>
  <si>
    <t>Amazon Part B0002UEN1A</t>
  </si>
  <si>
    <t>Brass fitting</t>
  </si>
  <si>
    <t>Amazon Part B003RW4IWE</t>
  </si>
  <si>
    <t>Battery minder</t>
  </si>
  <si>
    <t>Amazon Part B01D3SWXUA</t>
  </si>
  <si>
    <t>Brass bulkhead fitting</t>
  </si>
  <si>
    <t>Amazon Part B07P5CJKP8</t>
  </si>
  <si>
    <t>Brass male nipple</t>
  </si>
  <si>
    <t>Amazon Part B07VJKNNM4</t>
  </si>
  <si>
    <t xml:space="preserve">Battery cables </t>
  </si>
  <si>
    <t>Amazon Part B07L45RLY2</t>
  </si>
  <si>
    <t>Deep cycle battery</t>
  </si>
  <si>
    <t>Batteries+Bulbs Part SLI27MDC</t>
  </si>
  <si>
    <t>Blower</t>
  </si>
  <si>
    <t>Grainger Part 2c646</t>
  </si>
  <si>
    <t>Red Dragon VT 11/2-0 Vapor Torch Head</t>
  </si>
  <si>
    <t>Intech Equipment and Supplies</t>
  </si>
  <si>
    <t>2"X12"X12" Clsed Cell Foam</t>
  </si>
  <si>
    <t>Kayak Outfitting</t>
  </si>
  <si>
    <t>4" Galvanized Duct collar</t>
  </si>
  <si>
    <t>Lowe's</t>
  </si>
  <si>
    <t>4" Galvanized Duct elbow</t>
  </si>
  <si>
    <t>Battery box, Noco snap top group 27</t>
  </si>
  <si>
    <t>Northern Tool</t>
  </si>
  <si>
    <t>Garden Wagon 20X38</t>
  </si>
  <si>
    <t>High Temperature Duct</t>
  </si>
  <si>
    <t>Ryan will order</t>
  </si>
  <si>
    <t>Total=</t>
  </si>
  <si>
    <t>Order Number</t>
  </si>
  <si>
    <t>Tax</t>
  </si>
  <si>
    <t>Shipping</t>
  </si>
  <si>
    <t>Battery Core Deposit</t>
  </si>
  <si>
    <t>Amazon</t>
  </si>
  <si>
    <t>113-9946650-3610603</t>
  </si>
  <si>
    <t>111-8255256-5895432</t>
  </si>
  <si>
    <t xml:space="preserve">Amazon </t>
  </si>
  <si>
    <t>111-8557508-5584215</t>
  </si>
  <si>
    <t>111-6658190-2595447</t>
  </si>
  <si>
    <t>Intech</t>
  </si>
  <si>
    <t>Batteries + Bulbs</t>
  </si>
  <si>
    <t>EC0035700304</t>
  </si>
  <si>
    <t>Grainger</t>
  </si>
  <si>
    <t>TOTALS=</t>
  </si>
  <si>
    <t>GRAND TOTAL=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</si>
</sst>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"/>
  </numFmts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FF"/>
      <name val="Arial"/>
    </font>
    <font>
      <sz val="10"/>
      <color rgb="FF0F1111"/>
      <name val="Arial"/>
    </font>
    <font>
      <sz val="11"/>
      <color rgb="FF111111"/>
      <name val="&quot;Amazon Ember&quot;"/>
    </font>
    <font>
      <sz val="10"/>
      <color rgb="FF4C5C6A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4" fontId="2" fillId="0" borderId="0" xfId="0" applyNumberFormat="1" applyFont="1"/>
    <xf numFmtId="165" fontId="2" fillId="0" borderId="0" xfId="0" applyNumberFormat="1" applyFont="1"/>
    <xf numFmtId="0" fontId="4" fillId="2" borderId="0" xfId="0" applyFont="1" applyFill="1" applyAlignment="1">
      <alignment horizontal="left"/>
    </xf>
    <xf numFmtId="0" fontId="5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6" fillId="2" borderId="0" xfId="0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s?k=B07P5CJKP8&amp;ref=nb_sb_noss" TargetMode="External"/><Relationship Id="rId13" Type="http://schemas.openxmlformats.org/officeDocument/2006/relationships/hyperlink" Target="https://www.intechequipment.com/store/p-45431-red-dragon-vt-112-0-vapor-torch-head.aspx" TargetMode="External"/><Relationship Id="rId18" Type="http://schemas.openxmlformats.org/officeDocument/2006/relationships/hyperlink" Target="https://m.northerntool.com/shop/tools/product_477_477" TargetMode="External"/><Relationship Id="rId3" Type="http://schemas.openxmlformats.org/officeDocument/2006/relationships/hyperlink" Target="https://www.amazon.com/s?k=B07MFQ4TNK&amp;ref=nb_sb_noss" TargetMode="External"/><Relationship Id="rId7" Type="http://schemas.openxmlformats.org/officeDocument/2006/relationships/hyperlink" Target="https://www.amazon.com/BatteryMinder-128CEC1-Charger-Maintainer-Desulfator-Motorcycles-Snowmobiles/dp/B01D3SWXUA/ref=sr_1_1?dchild=1&amp;keywords=B01D3SWXUA&amp;qid=1608669051&amp;sr=8-1" TargetMode="External"/><Relationship Id="rId12" Type="http://schemas.openxmlformats.org/officeDocument/2006/relationships/hyperlink" Target="https://www.grainger.com/product/DAYTON-OEM-Blower-2C646?searchQuery=2c646&amp;searchBar=true" TargetMode="External"/><Relationship Id="rId17" Type="http://schemas.openxmlformats.org/officeDocument/2006/relationships/hyperlink" Target="https://www.northerntool.com/shop/tools/product_200321559_200321559?cm_mmc=Google-LIA&amp;utm_source=Google_LIA&amp;utm_medium=Automotive%20%3E%20Batteries%20%26%20Chargers%20%2B%20Jump%20Starters%20%3E%20Battery%20Boxes&amp;utm_campaign=NOCO&amp;utm_content=167800&amp;gclid=Cj0KCQiAzZL-BRDnARIsAPCJs73YfOi12tXrT6RzQJS4VXY-_Qd-VHscoj5brIseyHo_bSd4wNceW5kaApb0EALw_wcB&amp;gclsrc=aw.ds" TargetMode="External"/><Relationship Id="rId2" Type="http://schemas.openxmlformats.org/officeDocument/2006/relationships/hyperlink" Target="https://www.amazon.com/s?k=B07MMBVL6K&amp;ref=nb_sb_noss" TargetMode="External"/><Relationship Id="rId16" Type="http://schemas.openxmlformats.org/officeDocument/2006/relationships/hyperlink" Target="https://www.lowes.com/pd/IMPERIAL-4-in-x-4-in-Galvanized-Steel-Round-Duct-Elbow/1000230213" TargetMode="External"/><Relationship Id="rId1" Type="http://schemas.openxmlformats.org/officeDocument/2006/relationships/hyperlink" Target="https://www.amazon.com/s?k=B07GRFTR4S&amp;ref=nb_sb_noss" TargetMode="External"/><Relationship Id="rId6" Type="http://schemas.openxmlformats.org/officeDocument/2006/relationships/hyperlink" Target="https://www.amazon.com/s?k=B003RW4IWE&amp;ref=nb_sb_noss" TargetMode="External"/><Relationship Id="rId11" Type="http://schemas.openxmlformats.org/officeDocument/2006/relationships/hyperlink" Target="https://www.batteriesplus.com/productdetails/SLI27MDC?locationofinterest=&amp;locationphysical=9009674&amp;utm_source=google&amp;utm_medium=search&amp;utm_campaign=ecommppc&amp;gclid=CjwKCAiAzNj9BRBDEiwAPsL0d1kurveqCCdDd5kG3-DqK4c3U5tRoWe2nZQPBFP0v7AM4xHyPaH5OxoCDyAQAvD_BwE" TargetMode="External"/><Relationship Id="rId5" Type="http://schemas.openxmlformats.org/officeDocument/2006/relationships/hyperlink" Target="https://www.amazon.com/Permatex-81160-High-Temp-Silicone-Gasket/dp/B0002UEN1A/ref=sr_1_1?dchild=1&amp;keywords=B0002UEN1A&amp;qid=1608668839&amp;sr=8-1" TargetMode="External"/><Relationship Id="rId15" Type="http://schemas.openxmlformats.org/officeDocument/2006/relationships/hyperlink" Target="https://www.lowes.com/pd/IMPERIAL-4-in-Galvanized-Steel-Ductboard-Duct-Starting-Collar/1000230177" TargetMode="External"/><Relationship Id="rId10" Type="http://schemas.openxmlformats.org/officeDocument/2006/relationships/hyperlink" Target="https://www.amazon.com/s?k=B07L45RLY2&amp;ref=nb_sb_noss" TargetMode="External"/><Relationship Id="rId4" Type="http://schemas.openxmlformats.org/officeDocument/2006/relationships/hyperlink" Target="https://www.amazon.com/s?k=B00A7I5L86&amp;ref=nb_sb_noss" TargetMode="External"/><Relationship Id="rId9" Type="http://schemas.openxmlformats.org/officeDocument/2006/relationships/hyperlink" Target="https://www.amazon.com/s?k=B07VJKNNM4&amp;ref=nb_sb_noss" TargetMode="External"/><Relationship Id="rId14" Type="http://schemas.openxmlformats.org/officeDocument/2006/relationships/hyperlink" Target="http://kayakoutfitting.com/index.php?main_page=product_info&amp;cPath=15_34&amp;products_id=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34"/>
  <sheetViews>
    <sheetView tabSelected="1" workbookViewId="0">
      <selection activeCell="B14" sqref="B14"/>
    </sheetView>
  </sheetViews>
  <sheetFormatPr defaultColWidth="12.5703125" defaultRowHeight="15.75" customHeight="1"/>
  <cols>
    <col min="1" max="1" width="40" customWidth="1"/>
    <col min="2" max="2" width="25.42578125" customWidth="1"/>
    <col min="3" max="3" width="9.7109375" customWidth="1"/>
    <col min="4" max="4" width="8.85546875" customWidth="1"/>
    <col min="5" max="5" width="10.7109375" customWidth="1"/>
    <col min="6" max="6" width="14" customWidth="1"/>
    <col min="7" max="7" width="12.7109375" customWidth="1"/>
  </cols>
  <sheetData>
    <row r="1" spans="1:7">
      <c r="A1" s="1" t="s">
        <v>0</v>
      </c>
      <c r="B1" s="1"/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</row>
    <row r="2" spans="1:7">
      <c r="A2" s="2" t="s">
        <v>6</v>
      </c>
      <c r="B2" s="3" t="s">
        <v>7</v>
      </c>
      <c r="C2" s="2">
        <v>18.100000000000001</v>
      </c>
      <c r="D2" s="2">
        <v>1</v>
      </c>
      <c r="E2" s="4">
        <f t="shared" ref="E2:E5" si="0">C2*D2</f>
        <v>18.100000000000001</v>
      </c>
      <c r="F2" s="5">
        <v>44166</v>
      </c>
      <c r="G2" s="5">
        <v>44169</v>
      </c>
    </row>
    <row r="3" spans="1:7">
      <c r="A3" s="2" t="s">
        <v>8</v>
      </c>
      <c r="B3" s="3" t="s">
        <v>9</v>
      </c>
      <c r="C3" s="2">
        <v>9.2899999999999991</v>
      </c>
      <c r="D3" s="2">
        <v>1</v>
      </c>
      <c r="E3" s="4">
        <f t="shared" si="0"/>
        <v>9.2899999999999991</v>
      </c>
      <c r="F3" s="5">
        <v>44166</v>
      </c>
      <c r="G3" s="5">
        <v>44168</v>
      </c>
    </row>
    <row r="4" spans="1:7">
      <c r="A4" s="2" t="s">
        <v>10</v>
      </c>
      <c r="B4" s="3" t="s">
        <v>11</v>
      </c>
      <c r="C4" s="2">
        <v>9.99</v>
      </c>
      <c r="D4" s="2">
        <v>1</v>
      </c>
      <c r="E4" s="4">
        <f t="shared" si="0"/>
        <v>9.99</v>
      </c>
      <c r="F4" s="5">
        <v>44166</v>
      </c>
      <c r="G4" s="5">
        <v>44168</v>
      </c>
    </row>
    <row r="5" spans="1:7">
      <c r="A5" s="2" t="s">
        <v>12</v>
      </c>
      <c r="B5" s="3" t="s">
        <v>13</v>
      </c>
      <c r="C5" s="2">
        <v>7.98</v>
      </c>
      <c r="D5" s="2">
        <v>1</v>
      </c>
      <c r="E5" s="4">
        <f t="shared" si="0"/>
        <v>7.98</v>
      </c>
      <c r="F5" s="5">
        <v>44166</v>
      </c>
      <c r="G5" s="5">
        <v>44168</v>
      </c>
    </row>
    <row r="6" spans="1:7">
      <c r="A6" s="2" t="s">
        <v>14</v>
      </c>
      <c r="B6" s="3" t="s">
        <v>15</v>
      </c>
      <c r="C6" s="2">
        <v>7.18</v>
      </c>
      <c r="D6" s="2">
        <v>1</v>
      </c>
      <c r="E6" s="4">
        <v>7.18</v>
      </c>
      <c r="F6" s="5">
        <v>44185</v>
      </c>
      <c r="G6" s="5">
        <v>44187</v>
      </c>
    </row>
    <row r="7" spans="1:7">
      <c r="A7" s="2" t="s">
        <v>16</v>
      </c>
      <c r="B7" s="3" t="s">
        <v>17</v>
      </c>
      <c r="C7" s="2">
        <v>6.36</v>
      </c>
      <c r="D7" s="2">
        <v>1</v>
      </c>
      <c r="E7" s="4">
        <f t="shared" ref="E7:E8" si="1">C7*D7</f>
        <v>6.36</v>
      </c>
      <c r="F7" s="5">
        <v>44166</v>
      </c>
      <c r="G7" s="5">
        <v>44168</v>
      </c>
    </row>
    <row r="8" spans="1:7">
      <c r="A8" s="2" t="s">
        <v>18</v>
      </c>
      <c r="B8" s="3" t="s">
        <v>19</v>
      </c>
      <c r="C8" s="2">
        <v>161.49</v>
      </c>
      <c r="D8" s="2">
        <v>1</v>
      </c>
      <c r="E8" s="4">
        <f t="shared" si="1"/>
        <v>161.49</v>
      </c>
      <c r="F8" s="5">
        <v>44166</v>
      </c>
      <c r="G8" s="5">
        <v>44180</v>
      </c>
    </row>
    <row r="9" spans="1:7">
      <c r="A9" s="2" t="s">
        <v>20</v>
      </c>
      <c r="B9" s="3" t="s">
        <v>21</v>
      </c>
      <c r="C9" s="2">
        <v>9.49</v>
      </c>
      <c r="D9" s="2">
        <v>1</v>
      </c>
      <c r="E9" s="4">
        <v>9.49</v>
      </c>
      <c r="F9" s="5">
        <v>44175</v>
      </c>
      <c r="G9" s="5">
        <v>44177</v>
      </c>
    </row>
    <row r="10" spans="1:7">
      <c r="A10" s="2" t="s">
        <v>22</v>
      </c>
      <c r="B10" s="3" t="s">
        <v>23</v>
      </c>
      <c r="C10" s="2">
        <v>4.99</v>
      </c>
      <c r="D10" s="2">
        <v>1</v>
      </c>
      <c r="E10" s="4">
        <v>4.99</v>
      </c>
      <c r="F10" s="5">
        <v>44175</v>
      </c>
      <c r="G10" s="5">
        <v>44177</v>
      </c>
    </row>
    <row r="11" spans="1:7">
      <c r="A11" s="2" t="s">
        <v>24</v>
      </c>
      <c r="B11" s="3" t="s">
        <v>25</v>
      </c>
      <c r="C11" s="2">
        <v>17.989999999999998</v>
      </c>
      <c r="D11" s="2">
        <v>1</v>
      </c>
      <c r="E11" s="4">
        <v>17.989999999999998</v>
      </c>
      <c r="F11" s="6">
        <v>44180</v>
      </c>
      <c r="G11" s="5">
        <v>44182</v>
      </c>
    </row>
    <row r="12" spans="1:7">
      <c r="A12" s="2" t="s">
        <v>26</v>
      </c>
      <c r="B12" s="3" t="s">
        <v>27</v>
      </c>
      <c r="C12" s="2">
        <v>127.99</v>
      </c>
      <c r="D12" s="2">
        <v>2</v>
      </c>
      <c r="E12" s="4">
        <f t="shared" ref="E12:E20" si="2">C12*D12</f>
        <v>255.98</v>
      </c>
      <c r="F12" s="5">
        <v>44166</v>
      </c>
      <c r="G12" s="5">
        <v>44166</v>
      </c>
    </row>
    <row r="13" spans="1:7">
      <c r="A13" s="2" t="s">
        <v>28</v>
      </c>
      <c r="B13" s="3" t="s">
        <v>29</v>
      </c>
      <c r="C13" s="2">
        <v>73.95</v>
      </c>
      <c r="D13" s="2">
        <v>1</v>
      </c>
      <c r="E13" s="4">
        <f t="shared" si="2"/>
        <v>73.95</v>
      </c>
      <c r="F13" s="5">
        <v>44166</v>
      </c>
      <c r="G13" s="5">
        <v>44167</v>
      </c>
    </row>
    <row r="14" spans="1:7">
      <c r="A14" s="7" t="s">
        <v>30</v>
      </c>
      <c r="B14" s="3" t="s">
        <v>31</v>
      </c>
      <c r="C14" s="2">
        <v>36</v>
      </c>
      <c r="D14" s="2">
        <v>1</v>
      </c>
      <c r="E14" s="4">
        <f t="shared" si="2"/>
        <v>36</v>
      </c>
      <c r="F14" s="5">
        <v>44166</v>
      </c>
      <c r="G14" s="5">
        <v>44175</v>
      </c>
    </row>
    <row r="15" spans="1:7">
      <c r="A15" s="2" t="s">
        <v>32</v>
      </c>
      <c r="B15" s="8" t="s">
        <v>33</v>
      </c>
      <c r="C15" s="2">
        <v>6</v>
      </c>
      <c r="D15" s="2">
        <v>4</v>
      </c>
      <c r="E15" s="4">
        <f t="shared" si="2"/>
        <v>24</v>
      </c>
      <c r="F15" s="5">
        <v>44166</v>
      </c>
      <c r="G15" s="5">
        <v>44173</v>
      </c>
    </row>
    <row r="16" spans="1:7">
      <c r="A16" s="2" t="s">
        <v>34</v>
      </c>
      <c r="B16" s="3" t="s">
        <v>35</v>
      </c>
      <c r="C16" s="2">
        <v>3.48</v>
      </c>
      <c r="D16" s="2">
        <v>1</v>
      </c>
      <c r="E16" s="4">
        <f t="shared" si="2"/>
        <v>3.48</v>
      </c>
      <c r="F16" s="5">
        <v>44166</v>
      </c>
      <c r="G16" s="5">
        <v>44166</v>
      </c>
    </row>
    <row r="17" spans="1:7">
      <c r="A17" s="2" t="s">
        <v>36</v>
      </c>
      <c r="B17" s="3" t="s">
        <v>35</v>
      </c>
      <c r="C17" s="2">
        <v>4.9800000000000004</v>
      </c>
      <c r="D17" s="2">
        <v>1</v>
      </c>
      <c r="E17" s="4">
        <f t="shared" si="2"/>
        <v>4.9800000000000004</v>
      </c>
      <c r="F17" s="5">
        <v>44166</v>
      </c>
      <c r="G17" s="5">
        <v>44166</v>
      </c>
    </row>
    <row r="18" spans="1:7">
      <c r="A18" s="2" t="s">
        <v>37</v>
      </c>
      <c r="B18" s="3" t="s">
        <v>38</v>
      </c>
      <c r="C18" s="2">
        <v>14.99</v>
      </c>
      <c r="D18" s="2">
        <v>2</v>
      </c>
      <c r="E18" s="4">
        <f t="shared" si="2"/>
        <v>29.98</v>
      </c>
      <c r="F18" s="5">
        <v>44166</v>
      </c>
      <c r="G18" s="5">
        <v>44177</v>
      </c>
    </row>
    <row r="19" spans="1:7">
      <c r="A19" s="2" t="s">
        <v>39</v>
      </c>
      <c r="B19" s="3" t="s">
        <v>38</v>
      </c>
      <c r="C19" s="2">
        <v>129.99</v>
      </c>
      <c r="D19" s="2">
        <v>1</v>
      </c>
      <c r="E19" s="4">
        <f t="shared" si="2"/>
        <v>129.99</v>
      </c>
      <c r="F19" s="5">
        <v>44166</v>
      </c>
      <c r="G19" s="5">
        <v>44177</v>
      </c>
    </row>
    <row r="20" spans="1:7">
      <c r="A20" s="2" t="s">
        <v>40</v>
      </c>
      <c r="B20" s="2" t="s">
        <v>41</v>
      </c>
      <c r="E20" s="4">
        <f t="shared" si="2"/>
        <v>0</v>
      </c>
    </row>
    <row r="21" spans="1:7">
      <c r="D21" s="1" t="s">
        <v>42</v>
      </c>
      <c r="E21" s="9">
        <f>SUM(E2:E20)</f>
        <v>811.22000000000014</v>
      </c>
    </row>
    <row r="23" spans="1:7">
      <c r="B23" s="10" t="s">
        <v>43</v>
      </c>
      <c r="C23" s="10" t="s">
        <v>44</v>
      </c>
      <c r="D23" s="10" t="s">
        <v>45</v>
      </c>
      <c r="E23" s="11" t="s">
        <v>46</v>
      </c>
    </row>
    <row r="24" spans="1:7">
      <c r="A24" s="2" t="s">
        <v>47</v>
      </c>
      <c r="B24" s="12" t="s">
        <v>48</v>
      </c>
      <c r="C24" s="4">
        <v>3.74</v>
      </c>
      <c r="D24" s="13">
        <v>0</v>
      </c>
      <c r="E24" s="4"/>
    </row>
    <row r="25" spans="1:7">
      <c r="A25" s="2" t="s">
        <v>47</v>
      </c>
      <c r="B25" s="14" t="s">
        <v>49</v>
      </c>
      <c r="C25" s="4">
        <v>1.05</v>
      </c>
      <c r="D25" s="13">
        <v>0</v>
      </c>
      <c r="E25" s="4"/>
    </row>
    <row r="26" spans="1:7">
      <c r="A26" s="2" t="s">
        <v>50</v>
      </c>
      <c r="B26" s="14" t="s">
        <v>51</v>
      </c>
      <c r="C26" s="4">
        <v>1.3</v>
      </c>
      <c r="D26" s="13">
        <v>0</v>
      </c>
      <c r="E26" s="4"/>
    </row>
    <row r="27" spans="1:7">
      <c r="A27" s="2" t="s">
        <v>47</v>
      </c>
      <c r="B27" s="14" t="s">
        <v>52</v>
      </c>
      <c r="C27" s="4">
        <v>0.52</v>
      </c>
      <c r="D27" s="13">
        <v>0</v>
      </c>
      <c r="E27" s="4"/>
    </row>
    <row r="28" spans="1:7">
      <c r="A28" s="2" t="s">
        <v>35</v>
      </c>
      <c r="B28" s="15">
        <v>712913402</v>
      </c>
      <c r="C28" s="4">
        <v>0.61</v>
      </c>
      <c r="D28" s="13">
        <v>0</v>
      </c>
      <c r="E28" s="4"/>
    </row>
    <row r="29" spans="1:7">
      <c r="A29" s="2" t="s">
        <v>53</v>
      </c>
      <c r="B29" s="15">
        <v>102486</v>
      </c>
      <c r="C29" s="4">
        <v>0</v>
      </c>
      <c r="D29" s="13">
        <v>18.75</v>
      </c>
      <c r="E29" s="4"/>
    </row>
    <row r="30" spans="1:7">
      <c r="A30" s="2" t="s">
        <v>54</v>
      </c>
      <c r="B30" s="15" t="s">
        <v>55</v>
      </c>
      <c r="C30" s="4">
        <v>18.559999999999999</v>
      </c>
      <c r="D30" s="13">
        <v>0</v>
      </c>
      <c r="E30" s="4">
        <v>36</v>
      </c>
    </row>
    <row r="31" spans="1:7">
      <c r="A31" s="2" t="s">
        <v>38</v>
      </c>
      <c r="B31" s="15">
        <v>88355875</v>
      </c>
      <c r="C31" s="4">
        <v>11.59</v>
      </c>
      <c r="D31" s="13">
        <v>0</v>
      </c>
      <c r="E31" s="4"/>
    </row>
    <row r="32" spans="1:7">
      <c r="A32" s="2" t="s">
        <v>33</v>
      </c>
      <c r="B32" s="15">
        <v>4144</v>
      </c>
      <c r="C32" s="4">
        <v>0</v>
      </c>
      <c r="D32" s="13">
        <v>8.52</v>
      </c>
      <c r="E32" s="4"/>
    </row>
    <row r="33" spans="1:7">
      <c r="A33" s="2" t="s">
        <v>56</v>
      </c>
      <c r="B33" s="16">
        <v>1400420046</v>
      </c>
      <c r="C33" s="4">
        <v>6.44</v>
      </c>
      <c r="D33" s="4">
        <v>14.85</v>
      </c>
      <c r="E33" s="4"/>
    </row>
    <row r="34" spans="1:7">
      <c r="B34" s="17" t="s">
        <v>57</v>
      </c>
      <c r="C34" s="9">
        <f t="shared" ref="C34:E34" si="3">SUM(C24:C33)</f>
        <v>43.809999999999995</v>
      </c>
      <c r="D34" s="9">
        <f t="shared" si="3"/>
        <v>42.12</v>
      </c>
      <c r="E34" s="9">
        <f t="shared" si="3"/>
        <v>36</v>
      </c>
      <c r="F34" s="1" t="s">
        <v>58</v>
      </c>
      <c r="G34" s="9">
        <f>SUM(C34:E34)+E21</f>
        <v>933.15000000000009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</hyperlinks>
  <printOptions horizontalCentered="1" gridLines="1"/>
  <pageMargins left="0.7" right="0.7" top="0.75" bottom="0.75" header="0" footer="0"/>
  <pageSetup fitToWidth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Christenson</cp:lastModifiedBy>
  <dcterms:modified xsi:type="dcterms:W3CDTF">2025-12-17T18:55:18Z</dcterms:modified>
</cp:coreProperties>
</file>